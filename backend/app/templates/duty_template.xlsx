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b88ec867787b6e/デスクトップ/"/>
    </mc:Choice>
  </mc:AlternateContent>
  <xr:revisionPtr revIDLastSave="8" documentId="8_{D38D78F1-879E-493B-BC3A-12B22646EF58}" xr6:coauthVersionLast="47" xr6:coauthVersionMax="47" xr10:uidLastSave="{F8C8B24A-1ACB-4BFE-8341-0EEEC3322F28}"/>
  <bookViews>
    <workbookView xWindow="-98" yWindow="-98" windowWidth="21795" windowHeight="12975" xr2:uid="{956A8FFD-CC4A-4E0E-9FD7-26A828AE0F4C}"/>
  </bookViews>
  <sheets>
    <sheet name="カレンダ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3" i="1" l="1"/>
  <c r="J53" i="1"/>
  <c r="N52" i="1"/>
  <c r="N51" i="1"/>
  <c r="P51" i="1"/>
  <c r="N50" i="1"/>
  <c r="P50" i="1"/>
  <c r="N49" i="1"/>
  <c r="P49" i="1"/>
  <c r="N48" i="1"/>
  <c r="P48" i="1"/>
  <c r="N47" i="1"/>
  <c r="P47" i="1"/>
  <c r="N46" i="1"/>
  <c r="P46" i="1"/>
  <c r="N45" i="1"/>
  <c r="P45" i="1"/>
  <c r="N44" i="1"/>
  <c r="P44" i="1"/>
  <c r="N43" i="1"/>
  <c r="P43" i="1"/>
  <c r="N42" i="1"/>
  <c r="P42" i="1"/>
  <c r="N41" i="1"/>
  <c r="P41" i="1"/>
  <c r="N40" i="1"/>
  <c r="P40" i="1"/>
  <c r="N39" i="1"/>
  <c r="P39" i="1"/>
  <c r="N38" i="1"/>
  <c r="P38" i="1"/>
  <c r="N37" i="1"/>
  <c r="P37" i="1"/>
  <c r="N36" i="1"/>
  <c r="P36" i="1"/>
  <c r="N35" i="1"/>
  <c r="P35" i="1"/>
  <c r="S34" i="1"/>
  <c r="Q34" i="1"/>
  <c r="N34" i="1"/>
  <c r="P34" i="1"/>
  <c r="N33" i="1"/>
  <c r="P33" i="1"/>
  <c r="N32" i="1"/>
  <c r="P32" i="1"/>
  <c r="S31" i="1"/>
  <c r="Q31" i="1"/>
  <c r="N31" i="1"/>
  <c r="P31" i="1" l="1"/>
</calcChain>
</file>

<file path=xl/sharedStrings.xml><?xml version="1.0" encoding="utf-8"?>
<sst xmlns="http://schemas.openxmlformats.org/spreadsheetml/2006/main" count="139" uniqueCount="41">
  <si>
    <t>2026年</t>
    <rPh sb="4" eb="5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</si>
  <si>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</si>
  <si>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</si>
  <si>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</si>
  <si>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</si>
  <si>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</si>
  <si>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</si>
  <si>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</si>
  <si>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</si>
  <si>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/</t>
    <phoneticPr fontId="2"/>
  </si>
  <si>
    <t>当直</t>
    <rPh sb="0" eb="2">
      <t xml:space="preserve">トウチョク </t>
    </rPh>
    <phoneticPr fontId="22"/>
  </si>
  <si>
    <t>OC</t>
    <phoneticPr fontId="22"/>
  </si>
  <si>
    <t>total</t>
    <phoneticPr fontId="2"/>
  </si>
  <si>
    <t>実total</t>
    <rPh sb="0" eb="1">
      <t>ジツ</t>
    </rPh>
    <phoneticPr fontId="2"/>
  </si>
  <si>
    <t>下　当直</t>
    <rPh sb="0" eb="1">
      <t>シタ</t>
    </rPh>
    <rPh sb="2" eb="4">
      <t>トウチョク</t>
    </rPh>
    <phoneticPr fontId="2"/>
  </si>
  <si>
    <t>上　当直</t>
    <rPh sb="0" eb="1">
      <t>ウエ</t>
    </rPh>
    <rPh sb="2" eb="4">
      <t>トウチョク</t>
    </rPh>
    <phoneticPr fontId="2"/>
  </si>
  <si>
    <t>重城</t>
    <rPh sb="0" eb="2">
      <t xml:space="preserve">ジュウジョウ </t>
    </rPh>
    <phoneticPr fontId="22"/>
  </si>
  <si>
    <t>石原</t>
    <rPh sb="0" eb="2">
      <t xml:space="preserve">イシハラ </t>
    </rPh>
    <phoneticPr fontId="22"/>
  </si>
  <si>
    <t>小宮山</t>
    <rPh sb="0" eb="3">
      <t xml:space="preserve">コミヤマ </t>
    </rPh>
    <phoneticPr fontId="22"/>
  </si>
  <si>
    <t>下　OC</t>
    <rPh sb="0" eb="1">
      <t>シタ</t>
    </rPh>
    <phoneticPr fontId="2"/>
  </si>
  <si>
    <t>上　OC</t>
    <rPh sb="0" eb="1">
      <t>ウエ</t>
    </rPh>
    <phoneticPr fontId="2"/>
  </si>
  <si>
    <t>安藤</t>
    <rPh sb="0" eb="2">
      <t xml:space="preserve">アンドウ </t>
    </rPh>
    <phoneticPr fontId="22"/>
  </si>
  <si>
    <t>阿部</t>
    <rPh sb="0" eb="2">
      <t>アベ</t>
    </rPh>
    <phoneticPr fontId="2"/>
  </si>
  <si>
    <t>村上</t>
    <rPh sb="0" eb="2">
      <t>ムラカミ</t>
    </rPh>
    <phoneticPr fontId="22"/>
  </si>
  <si>
    <t>谷</t>
    <rPh sb="0" eb="1">
      <t>タニ</t>
    </rPh>
    <phoneticPr fontId="22"/>
  </si>
  <si>
    <t>河原</t>
    <rPh sb="0" eb="2">
      <t xml:space="preserve">カワハラ </t>
    </rPh>
    <phoneticPr fontId="22"/>
  </si>
  <si>
    <t>奥田</t>
    <rPh sb="0" eb="2">
      <t>オクダ</t>
    </rPh>
    <phoneticPr fontId="22"/>
  </si>
  <si>
    <t>小形</t>
    <rPh sb="0" eb="2">
      <t>オガタ</t>
    </rPh>
    <phoneticPr fontId="2"/>
  </si>
  <si>
    <t>長堀</t>
    <rPh sb="0" eb="2">
      <t>ナガホリ</t>
    </rPh>
    <phoneticPr fontId="2"/>
  </si>
  <si>
    <t>家村</t>
    <rPh sb="0" eb="2">
      <t>イエムラ</t>
    </rPh>
    <phoneticPr fontId="2"/>
  </si>
  <si>
    <t>三好</t>
    <rPh sb="0" eb="2">
      <t>ミヨシ</t>
    </rPh>
    <phoneticPr fontId="2"/>
  </si>
  <si>
    <t>北川</t>
    <rPh sb="0" eb="2">
      <t xml:space="preserve">キタガワ </t>
    </rPh>
    <phoneticPr fontId="22"/>
  </si>
  <si>
    <t>橋本</t>
    <rPh sb="0" eb="2">
      <t xml:space="preserve">ハシモト </t>
    </rPh>
    <phoneticPr fontId="22"/>
  </si>
  <si>
    <t>米山</t>
    <rPh sb="0" eb="2">
      <t xml:space="preserve">ヨネヤマ </t>
    </rPh>
    <phoneticPr fontId="22"/>
  </si>
  <si>
    <t>沼賀</t>
    <rPh sb="0" eb="2">
      <t xml:space="preserve">ヌマガ </t>
    </rPh>
    <phoneticPr fontId="22"/>
  </si>
  <si>
    <t>上嶋</t>
    <rPh sb="0" eb="2">
      <t>ウエシマ</t>
    </rPh>
    <phoneticPr fontId="2"/>
  </si>
  <si>
    <t>吉川</t>
    <rPh sb="0" eb="2">
      <t>キッカワ</t>
    </rPh>
    <phoneticPr fontId="2"/>
  </si>
  <si>
    <t>内藤</t>
    <rPh sb="0" eb="2">
      <t>ナイトウ</t>
    </rPh>
    <phoneticPr fontId="2"/>
  </si>
  <si>
    <t>堀澤</t>
    <rPh sb="0" eb="2">
      <t>ホリサワ</t>
    </rPh>
    <phoneticPr fontId="2"/>
  </si>
  <si>
    <t>岸</t>
    <rPh sb="0" eb="1">
      <t>キシ</t>
    </rPh>
    <phoneticPr fontId="2"/>
  </si>
  <si>
    <t>必要数</t>
    <rPh sb="0" eb="3">
      <t>ヒツヨウスウ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</si>
</sst>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ＭＳ Ｐゴシック"/>
      <family val="3"/>
      <charset val="128"/>
    </font>
    <font>
      <b/>
      <sz val="12"/>
      <color rgb="FF000000"/>
      <name val="メイリオ"/>
      <family val="3"/>
      <charset val="128"/>
    </font>
    <font>
      <sz val="6"/>
      <name val="ＭＳ Ｐゴシック"/>
      <family val="3"/>
      <charset val="128"/>
    </font>
    <font>
      <sz val="16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b/>
      <sz val="10"/>
      <name val="メイリオ"/>
      <family val="3"/>
      <charset val="128"/>
    </font>
    <font>
      <b/>
      <sz val="10"/>
      <color rgb="FF000000"/>
      <name val="メイリオ"/>
      <family val="3"/>
      <charset val="128"/>
    </font>
    <font>
      <b/>
      <sz val="10"/>
      <color rgb="FF0070C0"/>
      <name val="メイリオ"/>
      <family val="3"/>
      <charset val="128"/>
    </font>
    <font>
      <sz val="10"/>
      <color rgb="FF0070C0"/>
      <name val="メイリオ"/>
      <family val="3"/>
      <charset val="128"/>
    </font>
    <font>
      <sz val="14"/>
      <color rgb="FFFF0000"/>
      <name val="メイリオ"/>
      <family val="3"/>
      <charset val="128"/>
    </font>
    <font>
      <sz val="14"/>
      <name val="メイリオ"/>
      <family val="3"/>
      <charset val="128"/>
    </font>
    <font>
      <sz val="7"/>
      <color rgb="FFFF0000"/>
      <name val="メイリオ"/>
      <family val="3"/>
      <charset val="128"/>
    </font>
    <font>
      <sz val="7"/>
      <name val="メイリオ"/>
      <family val="3"/>
      <charset val="128"/>
    </font>
    <font>
      <sz val="7"/>
      <color rgb="FF000000"/>
      <name val="メイリオ"/>
      <family val="3"/>
      <charset val="128"/>
    </font>
    <font>
      <sz val="14"/>
      <color rgb="FF000000"/>
      <name val="メイリオ"/>
      <family val="3"/>
      <charset val="128"/>
    </font>
    <font>
      <sz val="14"/>
      <color rgb="FF0070C0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メイリオ"/>
      <family val="3"/>
      <charset val="128"/>
    </font>
    <font>
      <sz val="10"/>
      <color rgb="FF000000"/>
      <name val="メイリオ"/>
      <family val="2"/>
      <charset val="128"/>
    </font>
    <font>
      <sz val="6"/>
      <name val="Tsukushi A Round Gothic Bold"/>
      <family val="3"/>
      <charset val="128"/>
    </font>
    <font>
      <sz val="10"/>
      <color theme="1"/>
      <name val="メイリオ"/>
      <family val="2"/>
      <charset val="128"/>
    </font>
    <font>
      <b/>
      <sz val="10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right" vertical="center"/>
    </xf>
    <xf numFmtId="55" fontId="1" fillId="0" borderId="0" xfId="0" applyNumberFormat="1" applyFont="1" applyAlignment="1">
      <alignment horizontal="right" vertical="center"/>
    </xf>
    <xf numFmtId="5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6" xfId="0" applyFont="1" applyBorder="1" applyAlignment="1">
      <alignment horizontal="right"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horizontal="right" vertical="center"/>
    </xf>
    <xf numFmtId="0" fontId="18" fillId="0" borderId="9" xfId="0" applyFont="1" applyBorder="1" applyAlignment="1">
      <alignment vertical="center"/>
    </xf>
    <xf numFmtId="0" fontId="18" fillId="0" borderId="0" xfId="0" applyFont="1" applyAlignment="1">
      <alignment horizontal="right" vertical="center"/>
    </xf>
    <xf numFmtId="0" fontId="19" fillId="0" borderId="0" xfId="0" applyFont="1"/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vertical="center"/>
    </xf>
    <xf numFmtId="0" fontId="15" fillId="0" borderId="5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0" fontId="21" fillId="0" borderId="14" xfId="0" applyFont="1" applyBorder="1" applyAlignment="1">
      <alignment horizontal="center" vertical="center"/>
    </xf>
    <xf numFmtId="0" fontId="0" fillId="0" borderId="14" xfId="0" applyBorder="1"/>
    <xf numFmtId="0" fontId="4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3" fillId="0" borderId="16" xfId="0" applyFont="1" applyBorder="1" applyAlignment="1">
      <alignment horizontal="center" vertical="center"/>
    </xf>
    <xf numFmtId="0" fontId="18" fillId="0" borderId="0" xfId="0" applyFont="1"/>
    <xf numFmtId="0" fontId="2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/>
    <xf numFmtId="0" fontId="18" fillId="0" borderId="16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horizontal="left" vertical="center"/>
    </xf>
    <xf numFmtId="0" fontId="19" fillId="0" borderId="19" xfId="0" applyFont="1" applyBorder="1"/>
    <xf numFmtId="0" fontId="4" fillId="0" borderId="1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8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</cellXfs>
  <cellStyles count="1">
    <cellStyle name="標準" xfId="0" builtinId="0"/>
  </cellStyles>
  <dxfs count="18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9DA5-3373-429E-9FAD-F73F0F250EB5}">
  <sheetPr codeName="Sheet2"/>
  <dimension ref="A1:AD57"/>
  <sheetViews>
    <sheetView tabSelected="1" zoomScale="61" workbookViewId="0">
      <selection activeCell="Z45" sqref="Z45"/>
    </sheetView>
  </sheetViews>
  <sheetFormatPr defaultColWidth="9.78515625" defaultRowHeight="16.5"/>
  <cols>
    <col min="1" max="1" width="9.2109375" style="5" customWidth="1"/>
    <col min="2" max="2" width="8.7109375" style="5" customWidth="1"/>
    <col min="3" max="3" width="1.7109375" style="6" customWidth="1"/>
    <col min="4" max="5" width="8.7109375" style="5" customWidth="1"/>
    <col min="6" max="6" width="1.7109375" style="6" customWidth="1"/>
    <col min="7" max="8" width="8.7109375" style="5" customWidth="1"/>
    <col min="9" max="9" width="1.7109375" style="6" customWidth="1"/>
    <col min="10" max="11" width="8.7109375" style="5" customWidth="1"/>
    <col min="12" max="12" width="1.7109375" style="6" customWidth="1"/>
    <col min="13" max="14" width="8.7109375" style="5" customWidth="1"/>
    <col min="15" max="15" width="1.7109375" style="6" customWidth="1"/>
    <col min="16" max="17" width="8.7109375" style="5" customWidth="1"/>
    <col min="18" max="18" width="1.7109375" style="6" customWidth="1"/>
    <col min="19" max="20" width="8.7109375" style="5" customWidth="1"/>
    <col min="21" max="21" width="1.7109375" style="6" customWidth="1"/>
    <col min="22" max="22" width="8.7109375" style="5" customWidth="1"/>
    <col min="23" max="23" width="4" style="5" customWidth="1"/>
    <col min="24" max="24" width="5.5703125" style="5" customWidth="1"/>
    <col min="25" max="25" width="15" style="5" customWidth="1"/>
    <col min="26" max="26" width="4.7109375" style="5" customWidth="1"/>
    <col min="27" max="27" width="1.7109375" style="5" customWidth="1"/>
    <col min="28" max="29" width="4.7109375" customWidth="1"/>
    <col min="30" max="30" width="1.7109375" customWidth="1"/>
    <col min="31" max="31" width="4.7109375" customWidth="1"/>
  </cols>
  <sheetData>
    <row r="1" spans="1:24" ht="24.75" customHeight="1">
      <c r="A1" s="1" t="s">
        <v>0</v>
      </c>
      <c r="B1" s="2" t="s">
        <v>1</v>
      </c>
      <c r="C1" s="3"/>
      <c r="D1" s="4"/>
      <c r="V1" s="7"/>
    </row>
    <row r="2" spans="1:24" ht="16.5" customHeight="1">
      <c r="U2" s="8"/>
      <c r="V2" s="7"/>
    </row>
    <row r="3" spans="1:24">
      <c r="B3" s="6"/>
      <c r="D3" s="6"/>
      <c r="E3" s="6"/>
      <c r="G3" s="6"/>
      <c r="H3" s="6"/>
    </row>
    <row r="4" spans="1:24">
      <c r="B4" s="9" t="s">
        <v>2</v>
      </c>
      <c r="C4" s="8"/>
      <c r="D4" s="8"/>
      <c r="E4" s="10" t="s">
        <v>3</v>
      </c>
      <c r="F4" s="8"/>
      <c r="G4" s="8"/>
      <c r="H4" s="10" t="s">
        <v>4</v>
      </c>
      <c r="I4" s="8"/>
      <c r="J4" s="11"/>
      <c r="K4" s="12" t="s">
        <v>5</v>
      </c>
      <c r="L4" s="8"/>
      <c r="M4" s="11"/>
      <c r="N4" s="12" t="s">
        <v>6</v>
      </c>
      <c r="O4" s="8"/>
      <c r="P4" s="11"/>
      <c r="Q4" s="12" t="s">
        <v>7</v>
      </c>
      <c r="R4" s="8"/>
      <c r="S4" s="11"/>
      <c r="T4" s="13" t="s">
        <v>8</v>
      </c>
      <c r="U4" s="8"/>
      <c r="V4" s="14"/>
    </row>
    <row r="5" spans="1:24" ht="20" customHeight="1">
      <c r="B5" s="15">
        <v>1</v>
      </c>
      <c r="C5" s="16"/>
      <c r="D5" s="17"/>
      <c r="E5" s="18">
        <v>2</v>
      </c>
      <c r="F5" s="16"/>
      <c r="G5" s="19"/>
      <c r="H5" s="18">
        <v>3</v>
      </c>
      <c r="I5" s="16"/>
      <c r="J5" s="20"/>
      <c r="K5" s="18">
        <v>4</v>
      </c>
      <c r="L5" s="16"/>
      <c r="M5" s="17"/>
      <c r="N5" s="21">
        <v>5</v>
      </c>
      <c r="O5" s="16"/>
      <c r="P5" s="20"/>
      <c r="Q5" s="21">
        <v>6</v>
      </c>
      <c r="R5" s="16"/>
      <c r="S5" s="20"/>
      <c r="T5" s="22">
        <v>7</v>
      </c>
      <c r="U5" s="16"/>
      <c r="V5" s="23"/>
    </row>
    <row r="6" spans="1:24" s="30" customFormat="1" ht="13.05" customHeight="1">
      <c r="A6" s="24"/>
      <c r="B6" s="25"/>
      <c r="C6" s="24" t="s">
        <v>9</v>
      </c>
      <c r="D6" s="26"/>
      <c r="E6" s="25"/>
      <c r="F6" s="24" t="s">
        <v>9</v>
      </c>
      <c r="G6" s="26"/>
      <c r="H6" s="25"/>
      <c r="I6" s="24" t="s">
        <v>9</v>
      </c>
      <c r="J6" s="24"/>
      <c r="K6" s="27"/>
      <c r="L6" s="24" t="s">
        <v>9</v>
      </c>
      <c r="M6" s="28"/>
      <c r="N6" s="29"/>
      <c r="O6" s="24" t="s">
        <v>9</v>
      </c>
      <c r="P6" s="26"/>
      <c r="Q6" s="25"/>
      <c r="R6" s="24" t="s">
        <v>9</v>
      </c>
      <c r="S6" s="26"/>
      <c r="T6" s="25"/>
      <c r="U6" s="24" t="s">
        <v>9</v>
      </c>
      <c r="V6" s="26"/>
      <c r="W6" s="24"/>
      <c r="X6" s="24"/>
    </row>
    <row r="7" spans="1:24" s="30" customFormat="1" ht="13.05" customHeight="1">
      <c r="A7" s="24"/>
      <c r="B7" s="25"/>
      <c r="C7" s="24" t="s">
        <v>9</v>
      </c>
      <c r="D7" s="26"/>
      <c r="E7" s="25"/>
      <c r="F7" s="24" t="s">
        <v>9</v>
      </c>
      <c r="G7" s="26"/>
      <c r="H7" s="25"/>
      <c r="I7" s="24"/>
      <c r="J7" s="24"/>
      <c r="K7" s="27"/>
      <c r="L7" s="24"/>
      <c r="M7" s="28"/>
      <c r="N7" s="29"/>
      <c r="O7" s="24"/>
      <c r="P7" s="26"/>
      <c r="Q7" s="25"/>
      <c r="R7" s="24"/>
      <c r="S7" s="26"/>
      <c r="T7" s="25"/>
      <c r="U7" s="24" t="s">
        <v>9</v>
      </c>
      <c r="V7" s="26"/>
      <c r="W7" s="24"/>
      <c r="X7" s="24"/>
    </row>
    <row r="8" spans="1:24" ht="13.05" customHeight="1">
      <c r="B8" s="31"/>
      <c r="D8" s="32"/>
      <c r="E8" s="31"/>
      <c r="G8" s="32"/>
      <c r="H8" s="31"/>
      <c r="K8" s="33"/>
      <c r="M8" s="34"/>
      <c r="N8" s="7"/>
      <c r="P8" s="32"/>
      <c r="Q8" s="31"/>
      <c r="S8" s="32"/>
      <c r="T8" s="31"/>
      <c r="V8" s="32"/>
    </row>
    <row r="9" spans="1:24" ht="20" customHeight="1">
      <c r="B9" s="15">
        <v>8</v>
      </c>
      <c r="C9" s="16"/>
      <c r="D9" s="20"/>
      <c r="E9" s="21">
        <v>9</v>
      </c>
      <c r="F9" s="16"/>
      <c r="G9" s="20"/>
      <c r="H9" s="21">
        <v>10</v>
      </c>
      <c r="I9" s="16"/>
      <c r="J9" s="20"/>
      <c r="K9" s="21">
        <v>11</v>
      </c>
      <c r="L9" s="16"/>
      <c r="M9" s="20"/>
      <c r="N9" s="21">
        <v>12</v>
      </c>
      <c r="O9" s="16"/>
      <c r="P9" s="20"/>
      <c r="Q9" s="21">
        <v>13</v>
      </c>
      <c r="R9" s="16"/>
      <c r="S9" s="20"/>
      <c r="T9" s="22">
        <v>14</v>
      </c>
      <c r="U9" s="16"/>
      <c r="V9" s="35"/>
    </row>
    <row r="10" spans="1:24" s="30" customFormat="1" ht="13.05" customHeight="1">
      <c r="A10" s="24"/>
      <c r="B10" s="25"/>
      <c r="C10" s="24" t="s">
        <v>9</v>
      </c>
      <c r="D10" s="26"/>
      <c r="E10" s="25"/>
      <c r="F10" s="24" t="s">
        <v>9</v>
      </c>
      <c r="G10" s="26"/>
      <c r="H10" s="25"/>
      <c r="I10" s="24" t="s">
        <v>9</v>
      </c>
      <c r="J10" s="26"/>
      <c r="K10" s="25"/>
      <c r="L10" s="24" t="s">
        <v>9</v>
      </c>
      <c r="M10" s="26"/>
      <c r="N10" s="25"/>
      <c r="O10" s="24" t="s">
        <v>9</v>
      </c>
      <c r="P10" s="26"/>
      <c r="Q10" s="25"/>
      <c r="R10" s="24" t="s">
        <v>9</v>
      </c>
      <c r="S10" s="26"/>
      <c r="T10" s="25"/>
      <c r="U10" s="24" t="s">
        <v>9</v>
      </c>
      <c r="V10" s="26"/>
      <c r="W10" s="24"/>
      <c r="X10" s="24"/>
    </row>
    <row r="11" spans="1:24" s="30" customFormat="1" ht="13.05" customHeight="1">
      <c r="A11" s="24"/>
      <c r="B11" s="25"/>
      <c r="C11" s="24" t="s">
        <v>9</v>
      </c>
      <c r="D11" s="26"/>
      <c r="E11" s="25"/>
      <c r="F11" s="24"/>
      <c r="G11" s="26"/>
      <c r="H11" s="25"/>
      <c r="I11" s="24"/>
      <c r="J11" s="26"/>
      <c r="K11" s="25"/>
      <c r="L11" s="24"/>
      <c r="M11" s="26"/>
      <c r="N11" s="25"/>
      <c r="O11" s="24"/>
      <c r="P11" s="26"/>
      <c r="Q11" s="25"/>
      <c r="R11" s="24"/>
      <c r="S11" s="26"/>
      <c r="T11" s="25"/>
      <c r="U11" s="24" t="s">
        <v>9</v>
      </c>
      <c r="V11" s="26"/>
      <c r="W11" s="24"/>
      <c r="X11" s="24"/>
    </row>
    <row r="12" spans="1:24" s="30" customFormat="1" ht="13.05" customHeight="1">
      <c r="A12" s="24"/>
      <c r="B12" s="25"/>
      <c r="C12" s="24"/>
      <c r="D12" s="26"/>
      <c r="E12" s="25"/>
      <c r="F12" s="24"/>
      <c r="G12" s="26"/>
      <c r="H12" s="25"/>
      <c r="I12" s="24"/>
      <c r="J12" s="26"/>
      <c r="K12" s="25"/>
      <c r="L12" s="24"/>
      <c r="M12" s="26"/>
      <c r="N12" s="25"/>
      <c r="O12" s="24"/>
      <c r="P12" s="26"/>
      <c r="Q12" s="25"/>
      <c r="R12" s="24"/>
      <c r="S12" s="26"/>
      <c r="T12" s="25"/>
      <c r="U12" s="24"/>
      <c r="V12" s="26"/>
      <c r="W12" s="24"/>
      <c r="X12" s="24"/>
    </row>
    <row r="13" spans="1:24" ht="20" customHeight="1">
      <c r="B13" s="15">
        <v>15</v>
      </c>
      <c r="C13" s="16"/>
      <c r="D13" s="20"/>
      <c r="E13" s="36">
        <v>16</v>
      </c>
      <c r="F13" s="16"/>
      <c r="G13" s="17"/>
      <c r="H13" s="36">
        <v>17</v>
      </c>
      <c r="I13" s="16"/>
      <c r="J13" s="17"/>
      <c r="K13" s="21">
        <v>18</v>
      </c>
      <c r="L13" s="16"/>
      <c r="M13" s="20"/>
      <c r="N13" s="21">
        <v>19</v>
      </c>
      <c r="O13" s="16"/>
      <c r="P13" s="20"/>
      <c r="Q13" s="21">
        <v>20</v>
      </c>
      <c r="R13" s="16"/>
      <c r="S13" s="20"/>
      <c r="T13" s="22">
        <v>21</v>
      </c>
      <c r="U13" s="16"/>
      <c r="V13" s="23"/>
    </row>
    <row r="14" spans="1:24" s="30" customFormat="1" ht="13.05" customHeight="1">
      <c r="A14" s="24"/>
      <c r="B14" s="25"/>
      <c r="C14" s="24" t="s">
        <v>9</v>
      </c>
      <c r="D14" s="26"/>
      <c r="E14" s="25"/>
      <c r="F14" s="24" t="s">
        <v>9</v>
      </c>
      <c r="G14" s="26"/>
      <c r="H14" s="25"/>
      <c r="I14" s="24" t="s">
        <v>9</v>
      </c>
      <c r="J14" s="26"/>
      <c r="K14" s="25"/>
      <c r="L14" s="24" t="s">
        <v>9</v>
      </c>
      <c r="M14" s="26"/>
      <c r="N14" s="25"/>
      <c r="O14" s="24" t="s">
        <v>9</v>
      </c>
      <c r="P14" s="26"/>
      <c r="Q14" s="25"/>
      <c r="R14" s="24" t="s">
        <v>9</v>
      </c>
      <c r="S14" s="26"/>
      <c r="T14" s="25"/>
      <c r="U14" s="24" t="s">
        <v>9</v>
      </c>
      <c r="V14" s="26"/>
      <c r="W14" s="24"/>
      <c r="X14" s="24"/>
    </row>
    <row r="15" spans="1:24" s="30" customFormat="1" ht="13.05" customHeight="1">
      <c r="A15" s="24"/>
      <c r="B15" s="25"/>
      <c r="C15" s="24" t="s">
        <v>9</v>
      </c>
      <c r="D15" s="26"/>
      <c r="E15" s="25"/>
      <c r="F15" s="24"/>
      <c r="G15" s="26"/>
      <c r="H15" s="25"/>
      <c r="I15" s="24"/>
      <c r="J15" s="26"/>
      <c r="K15" s="25"/>
      <c r="L15" s="24"/>
      <c r="M15" s="26"/>
      <c r="N15" s="25"/>
      <c r="O15" s="24"/>
      <c r="P15" s="26"/>
      <c r="Q15" s="25"/>
      <c r="R15" s="24"/>
      <c r="S15" s="26"/>
      <c r="T15" s="25"/>
      <c r="U15" s="24" t="s">
        <v>9</v>
      </c>
      <c r="V15" s="26"/>
      <c r="W15" s="24"/>
      <c r="X15" s="24"/>
    </row>
    <row r="16" spans="1:24" s="30" customFormat="1" ht="13.05" customHeight="1">
      <c r="A16" s="24"/>
      <c r="B16" s="25"/>
      <c r="C16" s="24"/>
      <c r="D16" s="26"/>
      <c r="E16" s="25"/>
      <c r="F16" s="24"/>
      <c r="G16" s="26"/>
      <c r="H16" s="25"/>
      <c r="I16" s="24"/>
      <c r="J16" s="26"/>
      <c r="K16" s="25"/>
      <c r="L16" s="24"/>
      <c r="M16" s="26"/>
      <c r="N16" s="25"/>
      <c r="O16" s="24"/>
      <c r="P16" s="26"/>
      <c r="Q16" s="25"/>
      <c r="R16" s="24"/>
      <c r="S16" s="26"/>
      <c r="T16" s="25"/>
      <c r="U16" s="24"/>
      <c r="V16" s="26"/>
      <c r="W16" s="24"/>
      <c r="X16" s="24"/>
    </row>
    <row r="17" spans="1:30" ht="20" customHeight="1">
      <c r="B17" s="15">
        <v>22</v>
      </c>
      <c r="C17" s="16"/>
      <c r="D17" s="20"/>
      <c r="E17" s="21">
        <v>23</v>
      </c>
      <c r="F17" s="16"/>
      <c r="G17" s="20"/>
      <c r="H17" s="21">
        <v>24</v>
      </c>
      <c r="I17" s="16"/>
      <c r="J17" s="20"/>
      <c r="K17" s="21">
        <v>25</v>
      </c>
      <c r="L17" s="16"/>
      <c r="M17" s="20"/>
      <c r="N17" s="18">
        <v>26</v>
      </c>
      <c r="O17" s="16"/>
      <c r="P17" s="20"/>
      <c r="Q17" s="21">
        <v>27</v>
      </c>
      <c r="R17" s="16"/>
      <c r="S17" s="20"/>
      <c r="T17" s="22">
        <v>28</v>
      </c>
      <c r="U17" s="16"/>
      <c r="V17" s="23"/>
    </row>
    <row r="18" spans="1:30" s="30" customFormat="1" ht="13.05" customHeight="1">
      <c r="A18" s="24"/>
      <c r="B18" s="25"/>
      <c r="C18" s="24" t="s">
        <v>9</v>
      </c>
      <c r="D18" s="26"/>
      <c r="E18" s="25"/>
      <c r="F18" s="24" t="s">
        <v>9</v>
      </c>
      <c r="G18" s="26"/>
      <c r="H18" s="25"/>
      <c r="I18" s="24" t="s">
        <v>9</v>
      </c>
      <c r="J18" s="26"/>
      <c r="K18" s="25"/>
      <c r="L18" s="24" t="s">
        <v>9</v>
      </c>
      <c r="M18" s="26"/>
      <c r="N18" s="25"/>
      <c r="O18" s="24" t="s">
        <v>9</v>
      </c>
      <c r="P18" s="26"/>
      <c r="Q18" s="25"/>
      <c r="R18" s="24" t="s">
        <v>9</v>
      </c>
      <c r="S18" s="26"/>
      <c r="T18" s="25"/>
      <c r="U18" s="24" t="s">
        <v>9</v>
      </c>
      <c r="V18" s="26"/>
      <c r="W18" s="24"/>
      <c r="X18" s="24"/>
    </row>
    <row r="19" spans="1:30" s="30" customFormat="1" ht="13.05" customHeight="1">
      <c r="A19" s="24"/>
      <c r="B19" s="25"/>
      <c r="C19" s="24" t="s">
        <v>9</v>
      </c>
      <c r="D19" s="26"/>
      <c r="E19" s="25"/>
      <c r="F19" s="24"/>
      <c r="G19" s="26"/>
      <c r="H19" s="25"/>
      <c r="I19" s="24"/>
      <c r="J19" s="26"/>
      <c r="K19" s="25"/>
      <c r="L19" s="24"/>
      <c r="M19" s="26"/>
      <c r="N19" s="25"/>
      <c r="O19" s="24"/>
      <c r="P19" s="26"/>
      <c r="Q19" s="25"/>
      <c r="R19" s="24"/>
      <c r="S19" s="26"/>
      <c r="T19" s="25"/>
      <c r="U19" s="24" t="s">
        <v>9</v>
      </c>
      <c r="V19" s="26"/>
      <c r="W19" s="24"/>
      <c r="X19" s="24"/>
    </row>
    <row r="20" spans="1:30" ht="13.05" customHeight="1">
      <c r="B20" s="31"/>
      <c r="D20" s="32"/>
      <c r="E20" s="31"/>
      <c r="G20" s="32"/>
      <c r="H20" s="31"/>
      <c r="J20" s="32"/>
      <c r="K20" s="31"/>
      <c r="M20" s="32"/>
      <c r="N20" s="31"/>
      <c r="P20" s="32"/>
      <c r="Q20" s="31"/>
      <c r="S20" s="32"/>
      <c r="T20" s="31"/>
      <c r="V20" s="32"/>
    </row>
    <row r="21" spans="1:30" ht="20" customHeight="1">
      <c r="B21" s="15"/>
      <c r="C21" s="16"/>
      <c r="D21" s="17"/>
      <c r="E21" s="36"/>
      <c r="F21" s="16"/>
      <c r="G21" s="17"/>
      <c r="H21" s="21"/>
      <c r="I21" s="16"/>
      <c r="J21" s="20"/>
      <c r="K21" s="21"/>
      <c r="L21" s="16"/>
      <c r="M21" s="20"/>
      <c r="N21" s="21"/>
      <c r="O21" s="16"/>
      <c r="P21" s="20"/>
      <c r="Q21" s="21"/>
      <c r="R21" s="16"/>
      <c r="S21" s="20"/>
      <c r="T21" s="22"/>
      <c r="U21" s="16"/>
      <c r="V21" s="23"/>
    </row>
    <row r="22" spans="1:30" s="30" customFormat="1" ht="13.05" customHeight="1">
      <c r="A22" s="24"/>
      <c r="B22" s="25"/>
      <c r="C22" s="24" t="s">
        <v>9</v>
      </c>
      <c r="D22" s="26"/>
      <c r="E22" s="25"/>
      <c r="F22" s="24" t="s">
        <v>9</v>
      </c>
      <c r="G22" s="37"/>
      <c r="H22" s="25"/>
      <c r="I22" s="24" t="s">
        <v>9</v>
      </c>
      <c r="J22" s="26"/>
      <c r="K22" s="25"/>
      <c r="L22" s="24" t="s">
        <v>9</v>
      </c>
      <c r="M22" s="26"/>
      <c r="N22" s="25"/>
      <c r="O22" s="24" t="s">
        <v>9</v>
      </c>
      <c r="P22" s="26"/>
      <c r="Q22" s="25"/>
      <c r="R22" s="24" t="s">
        <v>9</v>
      </c>
      <c r="S22" s="26"/>
      <c r="T22" s="25"/>
      <c r="U22" s="24" t="s">
        <v>9</v>
      </c>
      <c r="V22" s="26"/>
      <c r="W22" s="24"/>
      <c r="X22" s="24"/>
    </row>
    <row r="23" spans="1:30" s="30" customFormat="1" ht="13.05" customHeight="1">
      <c r="A23" s="24"/>
      <c r="B23" s="25"/>
      <c r="C23" s="24" t="s">
        <v>9</v>
      </c>
      <c r="D23" s="26"/>
      <c r="E23" s="25"/>
      <c r="F23" s="24"/>
      <c r="G23" s="37"/>
      <c r="H23" s="25"/>
      <c r="I23" s="24"/>
      <c r="J23" s="26"/>
      <c r="K23" s="25"/>
      <c r="L23" s="24"/>
      <c r="M23" s="26"/>
      <c r="N23" s="25"/>
      <c r="O23" s="24"/>
      <c r="P23" s="26"/>
      <c r="Q23" s="25"/>
      <c r="R23" s="24"/>
      <c r="S23" s="26"/>
      <c r="T23" s="25"/>
      <c r="U23" s="24" t="s">
        <v>9</v>
      </c>
      <c r="V23" s="26"/>
      <c r="W23" s="24"/>
      <c r="X23" s="24"/>
      <c r="Y23" s="24"/>
      <c r="Z23" s="24"/>
      <c r="AA23" s="24"/>
    </row>
    <row r="24" spans="1:30" s="30" customFormat="1" ht="13.05" customHeight="1">
      <c r="A24" s="24"/>
      <c r="B24" s="25"/>
      <c r="C24" s="24"/>
      <c r="D24" s="26"/>
      <c r="E24" s="25"/>
      <c r="F24" s="24"/>
      <c r="G24" s="37"/>
      <c r="H24" s="25"/>
      <c r="I24" s="24"/>
      <c r="J24" s="26"/>
      <c r="K24" s="25"/>
      <c r="L24" s="24"/>
      <c r="M24" s="26"/>
      <c r="N24" s="25"/>
      <c r="O24" s="24"/>
      <c r="P24" s="26"/>
      <c r="Q24" s="25"/>
      <c r="R24" s="24"/>
      <c r="S24" s="26"/>
      <c r="T24" s="25"/>
      <c r="U24" s="24"/>
      <c r="V24" s="26"/>
      <c r="W24" s="24"/>
      <c r="X24" s="24"/>
      <c r="Y24" s="24"/>
      <c r="Z24" s="24"/>
      <c r="AA24" s="24"/>
    </row>
    <row r="25" spans="1:30" ht="20" customHeight="1">
      <c r="B25" s="15"/>
      <c r="C25" s="16"/>
      <c r="D25" s="20"/>
      <c r="E25" s="21"/>
      <c r="F25" s="16"/>
      <c r="G25" s="20"/>
      <c r="H25" s="21"/>
      <c r="I25" s="16"/>
      <c r="J25" s="20"/>
      <c r="K25" s="21"/>
      <c r="L25" s="16"/>
      <c r="M25" s="20"/>
      <c r="N25" s="21"/>
      <c r="O25" s="16"/>
      <c r="P25" s="20"/>
      <c r="Q25" s="21"/>
      <c r="R25" s="16"/>
      <c r="S25" s="20"/>
      <c r="T25" s="21"/>
      <c r="U25" s="16"/>
      <c r="V25" s="23"/>
    </row>
    <row r="26" spans="1:30" ht="13.05" customHeight="1">
      <c r="B26" s="31"/>
      <c r="C26" s="6" t="s">
        <v>9</v>
      </c>
      <c r="D26" s="32"/>
      <c r="E26" s="31"/>
      <c r="F26" s="6" t="s">
        <v>9</v>
      </c>
      <c r="G26" s="32"/>
      <c r="H26" s="31"/>
      <c r="I26" s="6" t="s">
        <v>9</v>
      </c>
      <c r="J26" s="32"/>
      <c r="K26" s="31"/>
      <c r="L26" s="6" t="s">
        <v>9</v>
      </c>
      <c r="M26" s="32"/>
      <c r="N26" s="31"/>
      <c r="O26" s="6" t="s">
        <v>9</v>
      </c>
      <c r="P26" s="32"/>
      <c r="Q26" s="31"/>
      <c r="R26" s="6" t="s">
        <v>9</v>
      </c>
      <c r="S26" s="32"/>
      <c r="T26" s="31"/>
      <c r="U26" s="6" t="s">
        <v>9</v>
      </c>
      <c r="V26" s="32"/>
    </row>
    <row r="27" spans="1:30" ht="13.05" customHeight="1">
      <c r="B27" s="31"/>
      <c r="C27" s="6" t="s">
        <v>9</v>
      </c>
      <c r="D27" s="32"/>
      <c r="E27" s="31"/>
      <c r="G27" s="32"/>
      <c r="H27" s="31"/>
      <c r="J27" s="32"/>
      <c r="K27" s="31"/>
      <c r="M27" s="32"/>
      <c r="N27" s="31"/>
      <c r="P27" s="32"/>
      <c r="Q27" s="31"/>
      <c r="S27" s="32"/>
      <c r="T27" s="31"/>
      <c r="V27" s="32"/>
    </row>
    <row r="28" spans="1:30" ht="13.05" customHeight="1">
      <c r="B28" s="38"/>
      <c r="C28" s="39"/>
      <c r="D28" s="40"/>
      <c r="E28" s="38"/>
      <c r="F28" s="39"/>
      <c r="G28" s="40"/>
      <c r="H28" s="38"/>
      <c r="I28" s="39"/>
      <c r="J28" s="40"/>
      <c r="K28" s="38"/>
      <c r="L28" s="39"/>
      <c r="M28" s="40"/>
      <c r="N28" s="38"/>
      <c r="O28" s="39"/>
      <c r="P28" s="40"/>
      <c r="Q28" s="38"/>
      <c r="R28" s="39"/>
      <c r="S28" s="40"/>
      <c r="T28" s="38"/>
      <c r="U28" s="39"/>
      <c r="V28" s="40"/>
      <c r="AC28" s="5"/>
      <c r="AD28" s="5"/>
    </row>
    <row r="29" spans="1:30" ht="16.899999999999999" thickBot="1"/>
    <row r="30" spans="1:30">
      <c r="G30" s="41"/>
      <c r="H30" s="42" t="s">
        <v>10</v>
      </c>
      <c r="I30" s="43"/>
      <c r="J30" s="44"/>
      <c r="K30" s="42" t="s">
        <v>11</v>
      </c>
      <c r="L30" s="42"/>
      <c r="M30" s="44"/>
      <c r="N30" s="45" t="s">
        <v>12</v>
      </c>
      <c r="O30" s="46"/>
      <c r="P30" s="45" t="s">
        <v>13</v>
      </c>
      <c r="Q30" s="45" t="s">
        <v>14</v>
      </c>
      <c r="R30" s="46"/>
      <c r="S30" s="47" t="s">
        <v>15</v>
      </c>
    </row>
    <row r="31" spans="1:30">
      <c r="G31" s="48" t="s">
        <v>16</v>
      </c>
      <c r="H31" s="71"/>
      <c r="I31" s="49" t="s">
        <v>9</v>
      </c>
      <c r="J31" s="50">
        <v>0</v>
      </c>
      <c r="K31" s="29"/>
      <c r="L31" s="49" t="s">
        <v>9</v>
      </c>
      <c r="M31" s="50">
        <v>2</v>
      </c>
      <c r="N31" s="51">
        <f t="shared" ref="N31:N52" si="0">SUM(J31, M31)</f>
        <v>2</v>
      </c>
      <c r="P31" s="5">
        <f>SUM(H31,K31)</f>
        <v>0</v>
      </c>
      <c r="Q31" s="52">
        <f>SUM(J40:J51)</f>
        <v>29</v>
      </c>
      <c r="S31" s="53">
        <f>SUM(J31:J39)</f>
        <v>15</v>
      </c>
    </row>
    <row r="32" spans="1:30">
      <c r="G32" s="48" t="s">
        <v>17</v>
      </c>
      <c r="H32" s="71"/>
      <c r="I32" s="49" t="s">
        <v>9</v>
      </c>
      <c r="J32" s="50">
        <v>1</v>
      </c>
      <c r="K32" s="29"/>
      <c r="L32" s="49" t="s">
        <v>9</v>
      </c>
      <c r="M32" s="50">
        <v>3</v>
      </c>
      <c r="N32" s="51">
        <f t="shared" si="0"/>
        <v>4</v>
      </c>
      <c r="P32" s="5">
        <f t="shared" ref="P32:P51" si="1">SUM(H32,K32)</f>
        <v>0</v>
      </c>
      <c r="S32" s="54"/>
    </row>
    <row r="33" spans="7:19">
      <c r="G33" s="55" t="s">
        <v>18</v>
      </c>
      <c r="H33" s="72"/>
      <c r="I33" s="5" t="s">
        <v>9</v>
      </c>
      <c r="J33" s="56">
        <v>2</v>
      </c>
      <c r="K33" s="7"/>
      <c r="L33" s="49" t="s">
        <v>9</v>
      </c>
      <c r="M33" s="56">
        <v>3</v>
      </c>
      <c r="N33" s="51">
        <f t="shared" si="0"/>
        <v>5</v>
      </c>
      <c r="P33" s="5">
        <f t="shared" si="1"/>
        <v>0</v>
      </c>
      <c r="Q33" s="5" t="s">
        <v>19</v>
      </c>
      <c r="S33" s="54" t="s">
        <v>20</v>
      </c>
    </row>
    <row r="34" spans="7:19">
      <c r="G34" s="55" t="s">
        <v>21</v>
      </c>
      <c r="H34" s="72"/>
      <c r="I34" s="5" t="s">
        <v>9</v>
      </c>
      <c r="J34" s="56">
        <v>3</v>
      </c>
      <c r="K34" s="7"/>
      <c r="L34" s="49" t="s">
        <v>9</v>
      </c>
      <c r="M34" s="56">
        <v>4</v>
      </c>
      <c r="N34" s="51">
        <f t="shared" si="0"/>
        <v>7</v>
      </c>
      <c r="P34" s="5">
        <f t="shared" si="1"/>
        <v>0</v>
      </c>
      <c r="Q34" s="57">
        <f>SUM(M40:M51)</f>
        <v>17</v>
      </c>
      <c r="S34" s="58">
        <f>SUM(M31:M39)</f>
        <v>23</v>
      </c>
    </row>
    <row r="35" spans="7:19">
      <c r="G35" s="55" t="s">
        <v>22</v>
      </c>
      <c r="H35" s="72"/>
      <c r="I35" s="5" t="s">
        <v>9</v>
      </c>
      <c r="J35" s="56">
        <v>0</v>
      </c>
      <c r="K35" s="7"/>
      <c r="L35" s="49" t="s">
        <v>9</v>
      </c>
      <c r="M35" s="56">
        <v>0</v>
      </c>
      <c r="N35" s="51">
        <f t="shared" si="0"/>
        <v>0</v>
      </c>
      <c r="P35" s="5">
        <f t="shared" si="1"/>
        <v>0</v>
      </c>
      <c r="S35" s="54"/>
    </row>
    <row r="36" spans="7:19">
      <c r="G36" s="55" t="s">
        <v>23</v>
      </c>
      <c r="H36" s="72"/>
      <c r="I36" s="5" t="s">
        <v>9</v>
      </c>
      <c r="J36" s="56">
        <v>3</v>
      </c>
      <c r="K36" s="7"/>
      <c r="L36" s="49" t="s">
        <v>9</v>
      </c>
      <c r="M36" s="56">
        <v>3</v>
      </c>
      <c r="N36" s="51">
        <f t="shared" si="0"/>
        <v>6</v>
      </c>
      <c r="P36" s="5">
        <f t="shared" si="1"/>
        <v>0</v>
      </c>
      <c r="S36" s="54"/>
    </row>
    <row r="37" spans="7:19">
      <c r="G37" s="48" t="s">
        <v>24</v>
      </c>
      <c r="H37" s="71"/>
      <c r="I37" s="5" t="s">
        <v>9</v>
      </c>
      <c r="J37" s="50">
        <v>3</v>
      </c>
      <c r="K37" s="29"/>
      <c r="L37" s="49" t="s">
        <v>9</v>
      </c>
      <c r="M37" s="50">
        <v>3</v>
      </c>
      <c r="N37" s="51">
        <f t="shared" si="0"/>
        <v>6</v>
      </c>
      <c r="P37" s="5">
        <f t="shared" si="1"/>
        <v>0</v>
      </c>
      <c r="S37" s="54"/>
    </row>
    <row r="38" spans="7:19">
      <c r="G38" s="48" t="s">
        <v>25</v>
      </c>
      <c r="H38" s="71"/>
      <c r="I38" s="5" t="s">
        <v>9</v>
      </c>
      <c r="J38" s="50">
        <v>3</v>
      </c>
      <c r="K38" s="29"/>
      <c r="L38" s="49" t="s">
        <v>9</v>
      </c>
      <c r="M38" s="50">
        <v>5</v>
      </c>
      <c r="N38" s="51">
        <f t="shared" si="0"/>
        <v>8</v>
      </c>
      <c r="P38" s="5">
        <f t="shared" si="1"/>
        <v>0</v>
      </c>
      <c r="S38" s="54"/>
    </row>
    <row r="39" spans="7:19">
      <c r="G39" s="48" t="s">
        <v>26</v>
      </c>
      <c r="H39" s="71"/>
      <c r="I39" s="5" t="s">
        <v>9</v>
      </c>
      <c r="J39" s="50">
        <v>0</v>
      </c>
      <c r="K39" s="29"/>
      <c r="L39" s="49" t="s">
        <v>9</v>
      </c>
      <c r="M39" s="50">
        <v>0</v>
      </c>
      <c r="N39" s="51">
        <f t="shared" si="0"/>
        <v>0</v>
      </c>
      <c r="P39" s="5">
        <f t="shared" si="1"/>
        <v>0</v>
      </c>
      <c r="S39" s="54"/>
    </row>
    <row r="40" spans="7:19">
      <c r="G40" s="55" t="s">
        <v>27</v>
      </c>
      <c r="H40" s="72"/>
      <c r="I40" s="5" t="s">
        <v>9</v>
      </c>
      <c r="J40" s="56">
        <v>0</v>
      </c>
      <c r="K40" s="7"/>
      <c r="L40" s="49" t="s">
        <v>9</v>
      </c>
      <c r="M40" s="56">
        <v>0</v>
      </c>
      <c r="N40" s="51">
        <f t="shared" si="0"/>
        <v>0</v>
      </c>
      <c r="P40" s="5">
        <f t="shared" si="1"/>
        <v>0</v>
      </c>
      <c r="S40" s="54"/>
    </row>
    <row r="41" spans="7:19">
      <c r="G41" s="55" t="s">
        <v>28</v>
      </c>
      <c r="H41" s="72"/>
      <c r="I41" s="5" t="s">
        <v>9</v>
      </c>
      <c r="J41" s="56">
        <v>3</v>
      </c>
      <c r="K41" s="7"/>
      <c r="L41" s="49" t="s">
        <v>9</v>
      </c>
      <c r="M41" s="56">
        <v>3</v>
      </c>
      <c r="N41" s="51">
        <f t="shared" si="0"/>
        <v>6</v>
      </c>
      <c r="P41" s="5">
        <f t="shared" si="1"/>
        <v>0</v>
      </c>
      <c r="S41" s="54"/>
    </row>
    <row r="42" spans="7:19">
      <c r="G42" s="55" t="s">
        <v>29</v>
      </c>
      <c r="H42" s="72"/>
      <c r="I42" s="5" t="s">
        <v>9</v>
      </c>
      <c r="J42" s="56">
        <v>3</v>
      </c>
      <c r="K42" s="7"/>
      <c r="L42" s="49" t="s">
        <v>9</v>
      </c>
      <c r="M42" s="56">
        <v>3</v>
      </c>
      <c r="N42" s="51">
        <f t="shared" si="0"/>
        <v>6</v>
      </c>
      <c r="P42" s="5">
        <f t="shared" si="1"/>
        <v>0</v>
      </c>
      <c r="S42" s="54"/>
    </row>
    <row r="43" spans="7:19">
      <c r="G43" s="55" t="s">
        <v>30</v>
      </c>
      <c r="H43" s="72"/>
      <c r="I43" s="5" t="s">
        <v>9</v>
      </c>
      <c r="J43" s="56">
        <v>3</v>
      </c>
      <c r="K43" s="7"/>
      <c r="L43" s="49" t="s">
        <v>9</v>
      </c>
      <c r="M43" s="56">
        <v>3</v>
      </c>
      <c r="N43" s="51">
        <f t="shared" si="0"/>
        <v>6</v>
      </c>
      <c r="P43" s="5">
        <f t="shared" si="1"/>
        <v>0</v>
      </c>
      <c r="S43" s="54"/>
    </row>
    <row r="44" spans="7:19">
      <c r="G44" s="55" t="s">
        <v>31</v>
      </c>
      <c r="H44" s="72"/>
      <c r="I44" s="5" t="s">
        <v>9</v>
      </c>
      <c r="J44" s="56">
        <v>0</v>
      </c>
      <c r="K44" s="7"/>
      <c r="L44" s="49" t="s">
        <v>9</v>
      </c>
      <c r="M44" s="56">
        <v>0</v>
      </c>
      <c r="N44" s="51">
        <f t="shared" si="0"/>
        <v>0</v>
      </c>
      <c r="P44" s="5">
        <f t="shared" si="1"/>
        <v>0</v>
      </c>
      <c r="S44" s="54"/>
    </row>
    <row r="45" spans="7:19">
      <c r="G45" s="48" t="s">
        <v>32</v>
      </c>
      <c r="H45" s="71"/>
      <c r="I45" s="5" t="s">
        <v>9</v>
      </c>
      <c r="J45" s="50">
        <v>0</v>
      </c>
      <c r="K45" s="29"/>
      <c r="L45" s="49" t="s">
        <v>9</v>
      </c>
      <c r="M45" s="50">
        <v>0</v>
      </c>
      <c r="N45" s="51">
        <f t="shared" si="0"/>
        <v>0</v>
      </c>
      <c r="P45" s="5">
        <f t="shared" si="1"/>
        <v>0</v>
      </c>
      <c r="S45" s="54"/>
    </row>
    <row r="46" spans="7:19">
      <c r="G46" s="48" t="s">
        <v>33</v>
      </c>
      <c r="H46" s="71"/>
      <c r="I46" s="5" t="s">
        <v>9</v>
      </c>
      <c r="J46" s="50">
        <v>0</v>
      </c>
      <c r="K46" s="29"/>
      <c r="L46" s="49" t="s">
        <v>9</v>
      </c>
      <c r="M46" s="50">
        <v>0</v>
      </c>
      <c r="N46" s="51">
        <f t="shared" si="0"/>
        <v>0</v>
      </c>
      <c r="P46" s="5">
        <f t="shared" si="1"/>
        <v>0</v>
      </c>
      <c r="S46" s="54"/>
    </row>
    <row r="47" spans="7:19">
      <c r="G47" s="55" t="s">
        <v>34</v>
      </c>
      <c r="H47" s="72"/>
      <c r="I47" s="5" t="s">
        <v>9</v>
      </c>
      <c r="J47" s="56">
        <v>0</v>
      </c>
      <c r="K47" s="7"/>
      <c r="L47" s="49" t="s">
        <v>9</v>
      </c>
      <c r="M47" s="56">
        <v>0</v>
      </c>
      <c r="N47" s="51">
        <f t="shared" si="0"/>
        <v>0</v>
      </c>
      <c r="P47" s="5">
        <f t="shared" si="1"/>
        <v>0</v>
      </c>
      <c r="S47" s="54"/>
    </row>
    <row r="48" spans="7:19">
      <c r="G48" s="55" t="s">
        <v>35</v>
      </c>
      <c r="H48" s="72"/>
      <c r="I48" s="5" t="s">
        <v>9</v>
      </c>
      <c r="J48" s="56">
        <v>5</v>
      </c>
      <c r="K48" s="7"/>
      <c r="L48" s="49" t="s">
        <v>9</v>
      </c>
      <c r="M48" s="56">
        <v>2</v>
      </c>
      <c r="N48" s="51">
        <f t="shared" si="0"/>
        <v>7</v>
      </c>
      <c r="P48" s="5">
        <f t="shared" si="1"/>
        <v>0</v>
      </c>
      <c r="S48" s="54"/>
    </row>
    <row r="49" spans="7:19">
      <c r="G49" s="59" t="s">
        <v>36</v>
      </c>
      <c r="H49" s="73"/>
      <c r="I49" s="5" t="s">
        <v>9</v>
      </c>
      <c r="J49" s="56">
        <v>5</v>
      </c>
      <c r="K49" s="60"/>
      <c r="L49" s="49" t="s">
        <v>9</v>
      </c>
      <c r="M49" s="56">
        <v>2</v>
      </c>
      <c r="N49" s="51">
        <f t="shared" si="0"/>
        <v>7</v>
      </c>
      <c r="P49" s="5">
        <f t="shared" si="1"/>
        <v>0</v>
      </c>
      <c r="S49" s="54"/>
    </row>
    <row r="50" spans="7:19">
      <c r="G50" s="59" t="s">
        <v>37</v>
      </c>
      <c r="H50" s="73"/>
      <c r="I50" s="5" t="s">
        <v>9</v>
      </c>
      <c r="J50" s="56">
        <v>5</v>
      </c>
      <c r="K50" s="60"/>
      <c r="L50" s="49" t="s">
        <v>9</v>
      </c>
      <c r="M50" s="56">
        <v>2</v>
      </c>
      <c r="N50" s="51">
        <f t="shared" si="0"/>
        <v>7</v>
      </c>
      <c r="P50" s="5">
        <f t="shared" si="1"/>
        <v>0</v>
      </c>
      <c r="S50" s="54"/>
    </row>
    <row r="51" spans="7:19">
      <c r="G51" s="59" t="s">
        <v>38</v>
      </c>
      <c r="H51" s="73"/>
      <c r="I51" s="5" t="s">
        <v>9</v>
      </c>
      <c r="J51" s="56">
        <v>5</v>
      </c>
      <c r="K51" s="60"/>
      <c r="L51" s="49" t="s">
        <v>9</v>
      </c>
      <c r="M51" s="56">
        <v>2</v>
      </c>
      <c r="N51" s="51">
        <f t="shared" si="0"/>
        <v>7</v>
      </c>
      <c r="P51" s="5">
        <f t="shared" si="1"/>
        <v>0</v>
      </c>
      <c r="S51" s="54"/>
    </row>
    <row r="52" spans="7:19">
      <c r="G52" s="59" t="s">
        <v>39</v>
      </c>
      <c r="H52" s="73"/>
      <c r="I52" s="5"/>
      <c r="J52" s="56">
        <v>5</v>
      </c>
      <c r="K52" s="60"/>
      <c r="L52" s="49"/>
      <c r="M52" s="56">
        <v>0</v>
      </c>
      <c r="N52" s="51">
        <f t="shared" si="0"/>
        <v>5</v>
      </c>
      <c r="S52" s="54"/>
    </row>
    <row r="53" spans="7:19">
      <c r="G53" s="61" t="s">
        <v>12</v>
      </c>
      <c r="H53" s="24"/>
      <c r="I53" s="62" t="s">
        <v>9</v>
      </c>
      <c r="J53" s="63">
        <f>SUM(J31:J52)</f>
        <v>49</v>
      </c>
      <c r="K53" s="29"/>
      <c r="L53" s="62" t="s">
        <v>9</v>
      </c>
      <c r="M53" s="63">
        <f>SUM(M31:M52)</f>
        <v>40</v>
      </c>
      <c r="S53" s="54"/>
    </row>
    <row r="54" spans="7:19" ht="16.899999999999999" thickBot="1">
      <c r="G54" s="64" t="s">
        <v>40</v>
      </c>
      <c r="H54" s="65"/>
      <c r="I54" s="65"/>
      <c r="J54" s="66">
        <v>42</v>
      </c>
      <c r="K54" s="67"/>
      <c r="L54" s="67"/>
      <c r="M54" s="66">
        <v>42</v>
      </c>
      <c r="N54" s="68"/>
      <c r="O54" s="69"/>
      <c r="P54" s="68"/>
      <c r="Q54" s="68"/>
      <c r="R54" s="69"/>
      <c r="S54" s="70"/>
    </row>
    <row r="56" spans="7:19">
      <c r="G56" s="51"/>
    </row>
    <row r="57" spans="7:19">
      <c r="G57" s="51"/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dataValidations count="20">
    <dataValidation type="list" allowBlank="1" showInputMessage="1" showErrorMessage="1" sqref="T10:T11" xr:uid="{68BFC8C2-973D-4B84-A108-6F63B7BD1A7F}">
      <formula1>"重城,小宮山,安藤,村上,谷,奥田,小形,家村,志賀野,北川,橋本,三好,米山,沼賀,上嶋,吉川,内藤,堀澤"</formula1>
    </dataValidation>
    <dataValidation type="list" allowBlank="1" showInputMessage="1" showErrorMessage="1" sqref="T6:T7" xr:uid="{7C104F21-8EDF-4EEC-B5E0-11697D464511}">
      <formula1>"石原,阿部,村上,谷,奥田,小形,志賀野,北川,三好,米山,沼賀,上嶋,吉川,内藤,堀澤"</formula1>
    </dataValidation>
    <dataValidation type="list" allowBlank="1" showInputMessage="1" showErrorMessage="1" sqref="Q6:Q7" xr:uid="{8B4DF99E-95D8-4D2B-906F-49C76446265D}">
      <formula1>"重城,小宮山,阿部,村上,谷,奥田,小形,家村,北川"</formula1>
    </dataValidation>
    <dataValidation type="list" allowBlank="1" showInputMessage="1" showErrorMessage="1" sqref="N6:N7" xr:uid="{5417AF86-1BBD-4C19-A0FB-61467B030BE7}">
      <formula1>"石原,小宮山,阿部,村上,谷,河原,奥田,家村,北川,三好"</formula1>
    </dataValidation>
    <dataValidation type="list" allowBlank="1" showInputMessage="1" showErrorMessage="1" sqref="K14:K15 E14:E15 Q14:Q15" xr:uid="{D85051DF-6119-42C4-AAFF-1E2BA87173A2}">
      <formula1>"重城,石原,小宮山,安藤,阿部,村上,奥田,小形,家村,志賀野,北川,橋本,三好,米山,沼賀,上嶋,吉川,内藤,堀澤"</formula1>
    </dataValidation>
    <dataValidation type="list" allowBlank="1" showInputMessage="1" showErrorMessage="1" sqref="B14:B15" xr:uid="{827F5AD6-4F63-47DC-A0A3-7DDE37F5409E}">
      <formula1>"石原,小宮山,安藤,阿部,村上,谷,奥田,小形,家村,志賀野,北川,橋本,三好,米山,沼賀,上嶋,吉川,内藤,堀澤"</formula1>
    </dataValidation>
    <dataValidation type="list" allowBlank="1" showInputMessage="1" showErrorMessage="1" sqref="K10:K11" xr:uid="{02EA3ECF-9C96-49A4-85CA-7E115B85FD64}">
      <formula1>"石原,小宮山,安藤,村上,谷,奥田,小形,家村,志賀野,北川,橋本,三好,米山,上嶋,吉川,内藤,堀澤"</formula1>
    </dataValidation>
    <dataValidation type="list" allowBlank="1" showInputMessage="1" showErrorMessage="1" sqref="H10:H11" xr:uid="{8825558A-F1CE-45F8-86FB-4B3816AC4180}">
      <formula1>"重城,小宮山,安藤,村上,谷,奥田,小形,家村,志賀野,北川,橋本,沼賀,上嶋,吉川,内藤,堀澤"</formula1>
    </dataValidation>
    <dataValidation type="list" allowBlank="1" showInputMessage="1" showErrorMessage="1" sqref="E10:E11" xr:uid="{AE1E4416-E59C-495B-865D-1AA6F13C8A5C}">
      <formula1>"石原,小宮山,安藤,阿部,村上,谷,奥田,小形,志賀野,北川,橋本,三好,米山,沼賀,上嶋,吉川,内藤,堀澤"</formula1>
    </dataValidation>
    <dataValidation type="list" allowBlank="1" showInputMessage="1" showErrorMessage="1" sqref="B10:B11" xr:uid="{3B62DAB8-44F0-424A-BCED-123020E92720}">
      <formula1>"重城,小宮山,阿部,村上,谷,奥田,小形,志賀野,北川,橋本,米山,沼賀,上嶋,吉川,内藤,堀澤"</formula1>
    </dataValidation>
    <dataValidation type="list" allowBlank="1" showInputMessage="1" showErrorMessage="1" sqref="K6:K7" xr:uid="{2E938DD3-A02F-4A5B-AA20-3F325A420DE6}">
      <formula1>"重城,石原,小宮山,阿部,村上,谷,奥田,北川"</formula1>
    </dataValidation>
    <dataValidation type="list" allowBlank="1" showInputMessage="1" showErrorMessage="1" sqref="H6:H7" xr:uid="{B26F4548-5C39-4535-AB92-DD6A78BB7809}">
      <formula1>"河原,橋本,三好,米山,沼賀"</formula1>
    </dataValidation>
    <dataValidation type="list" allowBlank="1" showInputMessage="1" showErrorMessage="1" sqref="H14:H15" xr:uid="{AB6C5F8B-2954-45A1-8C12-EE497F6A9CC1}">
      <formula1>"重城,石原,安藤,阿部,村上,河原,奥田,小形,家村,志賀野,北川,橋本,三好,米山,沼賀,上嶋,吉川,内藤,堀澤"</formula1>
    </dataValidation>
    <dataValidation type="list" allowBlank="1" showInputMessage="1" showErrorMessage="1" sqref="B18:B19" xr:uid="{22DA68CE-33CA-40CF-9B9F-9F29A0799D7F}">
      <formula1>"重城,石原,安藤,阿部,村上,谷,奥田,小形,家村,志賀野,北川,橋本,三好,米山,沼賀,上嶋,吉川,内藤,堀澤"</formula1>
    </dataValidation>
    <dataValidation type="list" allowBlank="1" showInputMessage="1" showErrorMessage="1" sqref="B22:B23 T14:T15 E18:E19 K18:K19 E22:E23 K22:K23 T18:T19" xr:uid="{506E6061-1F8B-4DE0-800E-74F4545EDEAB}">
      <formula1>"重城,石原,小宮山,安藤,阿部,村上,谷,奥田,小形,家村,志賀野,北川,橋本,三好,米山,沼賀,上嶋,吉川,内藤,堀澤"</formula1>
    </dataValidation>
    <dataValidation type="list" allowBlank="1" showInputMessage="1" showErrorMessage="1" sqref="Q18:Q19" xr:uid="{4CA914AC-467A-4671-AD3F-5923C8F34111}">
      <formula1>"重城,石原,小宮山,安藤,阿部,村上,谷,河原,小形,家村,志賀野,北川,橋本,三好,米山,沼賀,上嶋,吉川,内藤,堀澤"</formula1>
    </dataValidation>
    <dataValidation type="list" allowBlank="1" showInputMessage="1" showErrorMessage="1" sqref="N14:N15" xr:uid="{8DE79E67-E653-4C37-9BEF-1EE7CAB4CAC6}">
      <formula1>"重城,石原,小宮山,安藤,阿部,村上,河原,奥田,小形,家村,志賀野,北川,橋本,三好,米山,沼賀,上嶋,吉川,内藤,堀澤"</formula1>
    </dataValidation>
    <dataValidation type="list" allowBlank="1" showInputMessage="1" showErrorMessage="1" sqref="Q10:Q11" xr:uid="{53447A06-08B2-48E9-8711-E4F529619C5B}">
      <formula1>"石原,小宮山,安藤,村上,谷,河原,奥田,小形,家村,志賀野,北川,橋本,三好,米山,沼賀,上嶋,吉川,内藤,堀澤"</formula1>
    </dataValidation>
    <dataValidation type="list" allowBlank="1" showInputMessage="1" showErrorMessage="1" sqref="N10:N11" xr:uid="{7CEB4EAA-C9CA-47F4-9686-0564EB079784}">
      <formula1>"重城,安藤,村上,谷,河原,奥田,小形,家村,志賀野,北川,三好,米山,沼賀,上嶋,吉川,内藤,堀澤"</formula1>
    </dataValidation>
    <dataValidation type="list" allowBlank="1" showInputMessage="1" showErrorMessage="1" sqref="H18:H19 N18:N19 N26:N27 Q22:Q23 H22:H23 K26:K27 Q26:Q27 H26:H27 B6:B7 N22:N23 E6:E7 E26:E27 B26:B27 T22:T23 T26:T27" xr:uid="{B164EC28-7391-4435-A6FD-D410D3723B77}">
      <formula1>"重城,石原,小宮山,安藤,阿部,村上,谷,河原,奥田,小形,家村,志賀野,北川,橋本,三好,米山,沼賀,上嶋,吉川,内藤,堀澤"</formula1>
    </dataValidation>
  </dataValidations>
  <printOptions horizontalCentered="1" verticalCentered="1"/>
  <pageMargins left="0.39370078740157" right="0.39370078740157" top="0.39370078740157" bottom="0.39370078740157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カレンダー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勇貴 河原</dc:creator>
  <cp:lastModifiedBy>勇貴 河原</cp:lastModifiedBy>
  <dcterms:created xsi:type="dcterms:W3CDTF">2026-08-10T00:31:41Z</dcterms:created>
  <dcterms:modified xsi:type="dcterms:W3CDTF">2026-08-10T00:35:47Z</dcterms:modified>
</cp:coreProperties>
</file>